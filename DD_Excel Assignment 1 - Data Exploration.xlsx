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ven\Downloads\"/>
    </mc:Choice>
  </mc:AlternateContent>
  <xr:revisionPtr revIDLastSave="0" documentId="13_ncr:1_{9CEFA2F0-C64A-4016-B21E-B0E1843AC5A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3" i="2" l="1"/>
  <c r="J3" i="2"/>
  <c r="I3" i="2"/>
  <c r="H4" i="2"/>
  <c r="J4" i="2"/>
  <c r="I4" i="2"/>
  <c r="H5" i="2"/>
  <c r="J5" i="2"/>
  <c r="I5" i="2"/>
  <c r="H6" i="2"/>
  <c r="J6" i="2"/>
  <c r="I6" i="2"/>
  <c r="H7" i="2"/>
  <c r="J7" i="2"/>
  <c r="I7" i="2"/>
  <c r="H8" i="2"/>
  <c r="J8" i="2"/>
  <c r="I8" i="2"/>
  <c r="H9" i="2"/>
  <c r="J9" i="2"/>
  <c r="I9" i="2"/>
  <c r="H10" i="2"/>
  <c r="J10" i="2"/>
  <c r="I10" i="2"/>
  <c r="H11" i="2"/>
  <c r="J11" i="2"/>
  <c r="I11" i="2"/>
  <c r="H12" i="2"/>
  <c r="J12" i="2"/>
  <c r="I12" i="2"/>
  <c r="H13" i="2"/>
  <c r="J13" i="2"/>
  <c r="I13" i="2"/>
  <c r="H14" i="2"/>
  <c r="J14" i="2"/>
  <c r="I14" i="2"/>
  <c r="H15" i="2"/>
  <c r="J15" i="2"/>
  <c r="I15" i="2"/>
  <c r="H16" i="2"/>
  <c r="J16" i="2"/>
  <c r="I16" i="2"/>
  <c r="H17" i="2"/>
  <c r="J17" i="2"/>
  <c r="I17" i="2"/>
  <c r="H18" i="2"/>
  <c r="J18" i="2"/>
  <c r="I18" i="2"/>
  <c r="H19" i="2"/>
  <c r="J19" i="2"/>
  <c r="I19" i="2"/>
  <c r="H20" i="2"/>
  <c r="J20" i="2"/>
  <c r="I20" i="2"/>
  <c r="H21" i="2"/>
  <c r="J21" i="2"/>
  <c r="I21" i="2"/>
  <c r="H22" i="2"/>
  <c r="J22" i="2"/>
  <c r="I22" i="2"/>
  <c r="H23" i="2"/>
  <c r="J23" i="2"/>
  <c r="I23" i="2"/>
  <c r="H24" i="2"/>
  <c r="J24" i="2"/>
  <c r="I24" i="2"/>
  <c r="H25" i="2"/>
  <c r="J25" i="2"/>
  <c r="I25" i="2"/>
  <c r="H26" i="2"/>
  <c r="J26" i="2"/>
  <c r="I26" i="2"/>
  <c r="H27" i="2"/>
  <c r="J27" i="2"/>
  <c r="I27" i="2"/>
  <c r="H28" i="2"/>
  <c r="J28" i="2"/>
  <c r="I28" i="2"/>
  <c r="H29" i="2"/>
  <c r="J29" i="2"/>
  <c r="I29" i="2"/>
  <c r="H30" i="2"/>
  <c r="J30" i="2"/>
  <c r="I30" i="2"/>
  <c r="H31" i="2"/>
  <c r="J31" i="2"/>
  <c r="I31" i="2"/>
  <c r="H32" i="2"/>
  <c r="J32" i="2"/>
  <c r="I32" i="2"/>
  <c r="H33" i="2"/>
  <c r="J33" i="2"/>
  <c r="I33" i="2"/>
  <c r="H34" i="2"/>
  <c r="J34" i="2"/>
  <c r="I34" i="2"/>
  <c r="H35" i="2"/>
  <c r="J35" i="2"/>
  <c r="I35" i="2"/>
  <c r="I2" i="2"/>
  <c r="J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N14" i="2"/>
  <c r="N13" i="2"/>
  <c r="N12" i="2"/>
  <c r="N8" i="2"/>
  <c r="N7" i="2"/>
  <c r="N6" i="2"/>
  <c r="N5" i="2"/>
  <c r="N4" i="2"/>
  <c r="N3" i="2"/>
  <c r="N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tc={95ECE908-A685-4CB2-9358-0403BFC16FD3}</author>
    <author>tc={22383168-9AD8-428A-A3F9-88CF9A3D9CAF}</author>
    <author>tc={6CF12AEC-F3F1-431D-A3AA-C526C7E28725}</author>
    <author>tc={21CA80EE-6FB8-4EB4-8B20-79067C28C38B}</author>
  </authors>
  <commentList>
    <comment ref="G1" authorId="0" shapeId="0" xr:uid="{95ECE908-A685-4CB2-9358-0403BFC16FD3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an IF function, create a new column named Price Range to categorize products with a price greater than or equal to $500 as 'High Price' and others as 'Standard Price'.</t>
      </text>
    </comment>
    <comment ref="H1" authorId="1" shapeId="0" xr:uid="{22383168-9AD8-428A-A3F9-88CF9A3D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Create a new column named Day with the first 2 characters of each 'Product ID' using the LEFT function.</t>
      </text>
    </comment>
    <comment ref="I1" authorId="2" shapeId="0" xr:uid="{6CF12AEC-F3F1-431D-A3AA-C526C7E28725}">
      <text>
        <t>[Threaded comment]
Your version of Excel allows you to read this threaded comment; however, any edits to it will get removed if the file is opened in a newer version of Excel. Learn more: https://go.microsoft.com/fwlink/?linkid=870924
Comment:
    Create a new column named Month by extracting 4th to 6th characters from the 'Product ID' column using the MID function.</t>
      </text>
    </comment>
    <comment ref="J1" authorId="3" shapeId="0" xr:uid="{21CA80EE-6FB8-4EB4-8B20-79067C28C38B}">
      <text>
        <t>[Threaded comment]
Your version of Excel allows you to read this threaded comment; however, any edits to it will get removed if the file is opened in a newer version of Excel. Learn more: https://go.microsoft.com/fwlink/?linkid=870924
Comment:
    Create a new column named Country Code by extracting the last 2 characters from the 'Product ID' column using the RIGHT function.</t>
      </text>
    </comment>
  </commentList>
</comments>
</file>

<file path=xl/sharedStrings.xml><?xml version="1.0" encoding="utf-8"?>
<sst xmlns="http://schemas.openxmlformats.org/spreadsheetml/2006/main" count="189" uniqueCount="130">
  <si>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</si>
  <si>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</si>
  <si>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</si>
  <si>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</si>
  <si>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</si>
  <si>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</si>
  <si>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</si>
  <si>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</si>
  <si>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</si>
  <si>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</si>
  <si>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</si>
  <si>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</si>
  <si>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</si>
  <si>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</si>
  <si>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</si>
  <si>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</si>
  <si>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</si>
  <si>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</si>
  <si>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</si>
  <si>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</si>
  <si>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</si>
  <si>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</si>
  <si>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</si>
  <si>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</si>
  <si>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</si>
  <si>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</si>
  <si>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</si>
  <si>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</si>
  <si>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</si>
  <si>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</si>
  <si>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</si>
  <si>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</si>
  <si>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</si>
  <si>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</si>
  <si>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</si>
  <si>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</si>
  <si>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</si>
  <si>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</si>
  <si>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</si>
  <si>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</si>
  <si>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</si>
  <si>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</si>
  <si>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</si>
  <si>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</si>
  <si>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</si>
  <si>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</si>
  <si>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</si>
  <si>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</si>
  <si>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</si>
  <si>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</si>
  <si>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</si>
  <si>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</si>
  <si>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</si>
  <si>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</si>
  <si>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</si>
  <si>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</si>
  <si>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</si>
  <si>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</si>
  <si>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</si>
  <si>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</si>
  <si>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</si>
  <si>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</si>
  <si>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</si>
  <si>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</si>
  <si>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</si>
  <si>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</si>
  <si>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</si>
  <si>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</si>
  <si>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</si>
  <si>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</si>
  <si>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</si>
  <si>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</si>
  <si>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</si>
  <si>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</si>
  <si>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</si>
  <si>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</si>
  <si>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</si>
  <si>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</si>
  <si>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</si>
  <si>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</si>
  <si>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</si>
  <si>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</si>
  <si>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</si>
  <si>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</si>
  <si>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</si>
  <si>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</si>
  <si>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</si>
  <si>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</si>
  <si>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</si>
  <si>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</si>
  <si>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</si>
  <si>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</si>
  <si>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</si>
  <si>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</si>
  <si>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</si>
  <si>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</si>
  <si>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</si>
  <si>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</si>
  <si>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</si>
  <si>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</si>
  <si>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</si>
  <si>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</si>
  <si>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</si>
  <si>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</si>
  <si>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</si>
  <si>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</si>
  <si>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</si>
  <si>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</si>
  <si>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</si>
  <si>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</si>
  <si>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</si>
  <si>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Question</t>
  </si>
  <si>
    <t>Excel function</t>
  </si>
  <si>
    <t xml:space="preserve">Output </t>
  </si>
  <si>
    <t>SUMIF</t>
  </si>
  <si>
    <t>COUNTIF</t>
  </si>
  <si>
    <t>SUM</t>
  </si>
  <si>
    <t>COUNT</t>
  </si>
  <si>
    <t>AVERAGE</t>
  </si>
  <si>
    <t>MIN</t>
  </si>
  <si>
    <t>MAX</t>
  </si>
  <si>
    <t>How many products are in the Electronics category, have a price greater than $500, and have a quantity greater than 20?</t>
  </si>
  <si>
    <t>What is the total quantity of products in the Kitchen category, with a price greater than $80, and a quantity greater than 30?</t>
  </si>
  <si>
    <t>What is the average price of products in the Electronics category, with a quantity greater than 20, and a price greater than $500?</t>
  </si>
  <si>
    <t>AVERAGEIFS</t>
  </si>
  <si>
    <t>SUMIFS</t>
  </si>
  <si>
    <t>COUNTIFS</t>
  </si>
  <si>
    <t xml:space="preserve"> 3 Criteria Question</t>
  </si>
  <si>
    <t>Month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</si>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</sst>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9"/>
      <color indexed="81"/>
      <name val="Tahoma"/>
      <charset val="1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  <fill>
      <patternFill patternType="solid">
        <fgColor rgb="FFE0F7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/>
    <xf numFmtId="0" fontId="8" fillId="0" borderId="2" xfId="0" applyFont="1" applyBorder="1" applyAlignment="1">
      <alignment wrapText="1"/>
    </xf>
    <xf numFmtId="0" fontId="8" fillId="5" borderId="2" xfId="0" applyFont="1" applyFill="1" applyBorder="1" applyAlignment="1">
      <alignment wrapText="1"/>
    </xf>
    <xf numFmtId="0" fontId="9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vendran G" id="{E49FDE0D-9FFB-45D5-A1E0-D2EE51E674AE}" userId="5f95ccd79d6ad024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8-20T06:08:24.41" personId="{E49FDE0D-9FFB-45D5-A1E0-D2EE51E674AE}" id="{95ECE908-A685-4CB2-9358-0403BFC16FD3}">
    <text>Using an IF function, create a new column named Price Range to categorize products with a price greater than or equal to $500 as 'High Price' and others as 'Standard Price'.</text>
  </threadedComment>
  <threadedComment ref="H1" dT="2026-08-20T06:09:53.34" personId="{E49FDE0D-9FFB-45D5-A1E0-D2EE51E674AE}" id="{22383168-9AD8-428A-A3F9-88CF9A3D9CAF}">
    <text>Create a new column named Day with the first 2 characters of each 'Product ID' using the LEFT function.</text>
  </threadedComment>
  <threadedComment ref="I1" dT="2026-08-20T06:10:42.11" personId="{E49FDE0D-9FFB-45D5-A1E0-D2EE51E674AE}" id="{6CF12AEC-F3F1-431D-A3AA-C526C7E28725}">
    <text>Create a new column named Month by extracting 4th to 6th characters from the 'Product ID' column using the MID function.</text>
  </threadedComment>
  <threadedComment ref="J1" dT="2026-08-20T06:10:08.59" personId="{E49FDE0D-9FFB-45D5-A1E0-D2EE51E674AE}" id="{21CA80EE-6FB8-4EB4-8B20-79067C28C38B}">
    <text>Create a new column named Country Code by extracting the last 2 characters from the 'Product ID' column using the RIGHT function.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0" sqref="C20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5"/>
  <sheetViews>
    <sheetView tabSelected="1" topLeftCell="I1" zoomScaleNormal="100" workbookViewId="0">
      <selection activeCell="L10" sqref="L10"/>
    </sheetView>
  </sheetViews>
  <sheetFormatPr defaultColWidth="12.5703125"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3.42578125" bestFit="1" customWidth="1"/>
    <col min="8" max="8" width="10.42578125" bestFit="1" customWidth="1"/>
    <col min="9" max="9" width="6.5703125" bestFit="1" customWidth="1"/>
    <col min="10" max="10" width="8" bestFit="1" customWidth="1"/>
    <col min="12" max="12" width="110.28515625" bestFit="1" customWidth="1"/>
    <col min="13" max="13" width="14" bestFit="1" customWidth="1"/>
    <col min="14" max="14" width="12" bestFit="1" customWidth="1"/>
  </cols>
  <sheetData>
    <row r="1" spans="1:14" ht="13.5" thickBo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110</v>
      </c>
      <c r="H1" s="14" t="s">
        <v>17</v>
      </c>
      <c r="I1" s="14" t="s">
        <v>128</v>
      </c>
      <c r="J1" s="6" t="s">
        <v>129</v>
      </c>
      <c r="L1" s="6" t="s">
        <v>111</v>
      </c>
      <c r="M1" s="6" t="s">
        <v>112</v>
      </c>
      <c r="N1" s="6" t="s">
        <v>113</v>
      </c>
    </row>
    <row r="2" spans="1:14" ht="16.5" thickBot="1" x14ac:dyDescent="0.3">
      <c r="A2" s="12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Price","Standard Price")</f>
        <v>High Price</v>
      </c>
      <c r="H2" s="7" t="str">
        <f>LEFT(A2,2)</f>
        <v>28</v>
      </c>
      <c r="I2" s="7" t="str">
        <f>MID(A2,4,3)</f>
        <v>JAN</v>
      </c>
      <c r="J2" s="7" t="str">
        <f>RIGHT(A2,2)</f>
        <v>US</v>
      </c>
      <c r="L2" s="9" t="s">
        <v>2</v>
      </c>
      <c r="M2" s="10" t="s">
        <v>116</v>
      </c>
      <c r="N2" s="10">
        <f>SUM(D2:D35)</f>
        <v>10100</v>
      </c>
    </row>
    <row r="3" spans="1:14" ht="16.5" thickBot="1" x14ac:dyDescent="0.3">
      <c r="A3" s="13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  <c r="H3" s="7" t="str">
        <f t="shared" ref="H3:H35" si="1">LEFT(A3,2)</f>
        <v>15</v>
      </c>
      <c r="I3" s="7" t="str">
        <f>MID(A3,4,3)</f>
        <v>FEB</v>
      </c>
      <c r="J3" s="7" t="str">
        <f t="shared" ref="J3:J35" si="2">RIGHT(A3,2)</f>
        <v>US</v>
      </c>
      <c r="L3" s="9" t="s">
        <v>3</v>
      </c>
      <c r="M3" s="10" t="s">
        <v>117</v>
      </c>
      <c r="N3" s="10">
        <f>COUNT(E2:E35)</f>
        <v>34</v>
      </c>
    </row>
    <row r="4" spans="1:14" ht="16.5" thickBot="1" x14ac:dyDescent="0.3">
      <c r="A4" s="12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Standard Price</v>
      </c>
      <c r="H4" s="7" t="str">
        <f t="shared" si="1"/>
        <v>03</v>
      </c>
      <c r="I4" s="7" t="str">
        <f>MID(A4,4,3)</f>
        <v>MAR</v>
      </c>
      <c r="J4" s="7" t="str">
        <f t="shared" si="2"/>
        <v>US</v>
      </c>
      <c r="L4" s="9" t="s">
        <v>4</v>
      </c>
      <c r="M4" s="10" t="s">
        <v>118</v>
      </c>
      <c r="N4" s="10">
        <f>AVERAGE(D2:D35)</f>
        <v>297.05882352941177</v>
      </c>
    </row>
    <row r="5" spans="1:14" ht="16.5" thickBot="1" x14ac:dyDescent="0.3">
      <c r="A5" s="13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s="7" t="str">
        <f t="shared" si="1"/>
        <v>11</v>
      </c>
      <c r="I5" s="7" t="str">
        <f>MID(A5,4,3)</f>
        <v>APR</v>
      </c>
      <c r="J5" s="7" t="str">
        <f t="shared" si="2"/>
        <v>US</v>
      </c>
      <c r="L5" s="9" t="s">
        <v>6</v>
      </c>
      <c r="M5" s="10" t="s">
        <v>119</v>
      </c>
      <c r="N5" s="10">
        <f>MIN(D2:D35)</f>
        <v>30</v>
      </c>
    </row>
    <row r="6" spans="1:14" ht="16.5" thickBot="1" x14ac:dyDescent="0.3">
      <c r="A6" s="12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Standard Price</v>
      </c>
      <c r="H6" s="7" t="str">
        <f t="shared" si="1"/>
        <v>22</v>
      </c>
      <c r="I6" s="7" t="str">
        <f>MID(A6,4,3)</f>
        <v>MAY</v>
      </c>
      <c r="J6" s="7" t="str">
        <f t="shared" si="2"/>
        <v>US</v>
      </c>
      <c r="L6" s="9" t="s">
        <v>7</v>
      </c>
      <c r="M6" s="10" t="s">
        <v>120</v>
      </c>
      <c r="N6" s="10">
        <f>MAX(D2:D35)</f>
        <v>1000</v>
      </c>
    </row>
    <row r="7" spans="1:14" ht="16.5" thickBot="1" x14ac:dyDescent="0.3">
      <c r="A7" s="13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s="7" t="str">
        <f t="shared" si="1"/>
        <v>07</v>
      </c>
      <c r="I7" s="7" t="str">
        <f>MID(A7,4,3)</f>
        <v>JUN</v>
      </c>
      <c r="J7" s="7" t="str">
        <f t="shared" si="2"/>
        <v>UK</v>
      </c>
      <c r="L7" s="9" t="s">
        <v>11</v>
      </c>
      <c r="M7" s="10" t="s">
        <v>114</v>
      </c>
      <c r="N7" s="10">
        <f>SUMIF(F2:F35,F2,D2:D35)</f>
        <v>8050</v>
      </c>
    </row>
    <row r="8" spans="1:14" ht="16.5" thickBot="1" x14ac:dyDescent="0.3">
      <c r="A8" s="12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Standard Price</v>
      </c>
      <c r="H8" s="7" t="str">
        <f t="shared" si="1"/>
        <v>19</v>
      </c>
      <c r="I8" s="7" t="str">
        <f>MID(A8,4,3)</f>
        <v>JUL</v>
      </c>
      <c r="J8" s="7" t="str">
        <f t="shared" si="2"/>
        <v>UK</v>
      </c>
      <c r="L8" s="9" t="s">
        <v>12</v>
      </c>
      <c r="M8" s="10" t="s">
        <v>115</v>
      </c>
      <c r="N8" s="10">
        <f>COUNTIF(D2:D35,"&lt;100")</f>
        <v>11</v>
      </c>
    </row>
    <row r="9" spans="1:14" ht="13.5" thickBot="1" x14ac:dyDescent="0.25">
      <c r="A9" s="13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s="7" t="str">
        <f t="shared" si="1"/>
        <v>23</v>
      </c>
      <c r="I9" s="7" t="str">
        <f>MID(A9,4,3)</f>
        <v>AUG</v>
      </c>
      <c r="J9" s="7" t="str">
        <f t="shared" si="2"/>
        <v>UK</v>
      </c>
    </row>
    <row r="10" spans="1:14" ht="13.5" thickBot="1" x14ac:dyDescent="0.25">
      <c r="A10" s="12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  <c r="H10" s="7" t="str">
        <f t="shared" si="1"/>
        <v>05</v>
      </c>
      <c r="I10" s="7" t="str">
        <f>MID(A10,4,3)</f>
        <v>SEP</v>
      </c>
      <c r="J10" s="7" t="str">
        <f t="shared" si="2"/>
        <v>UK</v>
      </c>
    </row>
    <row r="11" spans="1:14" ht="13.5" thickBot="1" x14ac:dyDescent="0.25">
      <c r="A11" s="13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s="7" t="str">
        <f t="shared" si="1"/>
        <v>14</v>
      </c>
      <c r="I11" s="7" t="str">
        <f>MID(A11,4,3)</f>
        <v>OCT</v>
      </c>
      <c r="J11" s="7" t="str">
        <f t="shared" si="2"/>
        <v>UK</v>
      </c>
      <c r="L11" s="6" t="s">
        <v>127</v>
      </c>
      <c r="M11" s="6" t="s">
        <v>112</v>
      </c>
      <c r="N11" s="6" t="s">
        <v>113</v>
      </c>
    </row>
    <row r="12" spans="1:14" ht="13.5" thickBot="1" x14ac:dyDescent="0.25">
      <c r="A12" s="12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  <c r="H12" s="7" t="str">
        <f t="shared" si="1"/>
        <v>17</v>
      </c>
      <c r="I12" s="7" t="str">
        <f>MID(A12,4,3)</f>
        <v>JUN</v>
      </c>
      <c r="J12" s="7" t="str">
        <f t="shared" si="2"/>
        <v>IN</v>
      </c>
      <c r="L12" s="11" t="s">
        <v>121</v>
      </c>
      <c r="M12" s="10" t="s">
        <v>126</v>
      </c>
      <c r="N12" s="10">
        <f>COUNTIFS(F2:F35,F2,D2:D35,"&gt;500",E2:E35,"&gt;20")</f>
        <v>6</v>
      </c>
    </row>
    <row r="13" spans="1:14" ht="13.5" thickBot="1" x14ac:dyDescent="0.25">
      <c r="A13" s="13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s="7" t="str">
        <f t="shared" si="1"/>
        <v>25</v>
      </c>
      <c r="I13" s="7" t="str">
        <f>MID(A13,4,3)</f>
        <v>NOV</v>
      </c>
      <c r="J13" s="7" t="str">
        <f t="shared" si="2"/>
        <v>AU</v>
      </c>
      <c r="L13" s="10" t="s">
        <v>122</v>
      </c>
      <c r="M13" s="10" t="s">
        <v>125</v>
      </c>
      <c r="N13" s="10">
        <f>SUMIFS(E2:E35,F2:F35,F4,D2:D35,"&gt;80",E2:E35,"&gt;30")</f>
        <v>150</v>
      </c>
    </row>
    <row r="14" spans="1:14" ht="13.5" thickBot="1" x14ac:dyDescent="0.25">
      <c r="A14" s="12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Standard Price</v>
      </c>
      <c r="H14" s="7" t="str">
        <f t="shared" si="1"/>
        <v>08</v>
      </c>
      <c r="I14" s="7" t="str">
        <f>MID(A14,4,3)</f>
        <v>DEC</v>
      </c>
      <c r="J14" s="7" t="str">
        <f t="shared" si="2"/>
        <v>DE</v>
      </c>
      <c r="L14" s="10" t="s">
        <v>123</v>
      </c>
      <c r="M14" s="10" t="s">
        <v>124</v>
      </c>
      <c r="N14" s="10">
        <f>AVERAGEIFS(D2:D35,F2:F35,F2,E2:E35,"&gt;20",D2:D35,"&gt;500")</f>
        <v>883.33333333333337</v>
      </c>
    </row>
    <row r="15" spans="1:14" ht="13.5" thickBot="1" x14ac:dyDescent="0.25">
      <c r="A15" s="13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s="7" t="str">
        <f t="shared" si="1"/>
        <v>18</v>
      </c>
      <c r="I15" s="7" t="str">
        <f>MID(A15,4,3)</f>
        <v>FEB</v>
      </c>
      <c r="J15" s="7" t="str">
        <f t="shared" si="2"/>
        <v>CA</v>
      </c>
    </row>
    <row r="16" spans="1:14" ht="13.5" thickBot="1" x14ac:dyDescent="0.25">
      <c r="A16" s="12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Standard Price</v>
      </c>
      <c r="H16" s="7" t="str">
        <f t="shared" si="1"/>
        <v>16</v>
      </c>
      <c r="I16" s="7" t="str">
        <f>MID(A16,4,3)</f>
        <v>APR</v>
      </c>
      <c r="J16" s="7" t="str">
        <f t="shared" si="2"/>
        <v>ES</v>
      </c>
    </row>
    <row r="17" spans="1:10" ht="13.5" thickBot="1" x14ac:dyDescent="0.25">
      <c r="A17" s="13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s="7" t="str">
        <f t="shared" si="1"/>
        <v>21</v>
      </c>
      <c r="I17" s="7" t="str">
        <f>MID(A17,4,3)</f>
        <v>AUG</v>
      </c>
      <c r="J17" s="7" t="str">
        <f t="shared" si="2"/>
        <v>CA</v>
      </c>
    </row>
    <row r="18" spans="1:10" ht="13.5" thickBot="1" x14ac:dyDescent="0.25">
      <c r="A18" s="12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Standard Price</v>
      </c>
      <c r="H18" s="7" t="str">
        <f t="shared" si="1"/>
        <v>20</v>
      </c>
      <c r="I18" s="7" t="str">
        <f>MID(A18,4,3)</f>
        <v>AUG</v>
      </c>
      <c r="J18" s="7" t="str">
        <f t="shared" si="2"/>
        <v>CN</v>
      </c>
    </row>
    <row r="19" spans="1:10" ht="13.5" thickBot="1" x14ac:dyDescent="0.25">
      <c r="A19" s="13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7" t="str">
        <f t="shared" si="1"/>
        <v>27</v>
      </c>
      <c r="I19" s="7" t="str">
        <f>MID(A19,4,3)</f>
        <v>JAN</v>
      </c>
      <c r="J19" s="7" t="str">
        <f t="shared" si="2"/>
        <v>IT</v>
      </c>
    </row>
    <row r="20" spans="1:10" ht="13.5" thickBot="1" x14ac:dyDescent="0.25">
      <c r="A20" s="12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Standard Price</v>
      </c>
      <c r="H20" s="7" t="str">
        <f t="shared" si="1"/>
        <v>01</v>
      </c>
      <c r="I20" s="7" t="str">
        <f>MID(A20,4,3)</f>
        <v>MAR</v>
      </c>
      <c r="J20" s="7" t="str">
        <f t="shared" si="2"/>
        <v>UK</v>
      </c>
    </row>
    <row r="21" spans="1:10" ht="13.5" thickBot="1" x14ac:dyDescent="0.25">
      <c r="A21" s="13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s="7" t="str">
        <f t="shared" si="1"/>
        <v>14</v>
      </c>
      <c r="I21" s="7" t="str">
        <f>MID(A21,4,3)</f>
        <v>AUG</v>
      </c>
      <c r="J21" s="7" t="str">
        <f t="shared" si="2"/>
        <v>US</v>
      </c>
    </row>
    <row r="22" spans="1:10" ht="13.5" thickBot="1" x14ac:dyDescent="0.25">
      <c r="A22" s="12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High Price</v>
      </c>
      <c r="H22" s="7" t="str">
        <f t="shared" si="1"/>
        <v>14</v>
      </c>
      <c r="I22" s="7" t="str">
        <f>MID(A22,4,3)</f>
        <v>MAY</v>
      </c>
      <c r="J22" s="7" t="str">
        <f t="shared" si="2"/>
        <v>RU</v>
      </c>
    </row>
    <row r="23" spans="1:10" ht="13.5" thickBot="1" x14ac:dyDescent="0.25">
      <c r="A23" s="13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s="7" t="str">
        <f t="shared" si="1"/>
        <v>09</v>
      </c>
      <c r="I23" s="7" t="str">
        <f>MID(A23,4,3)</f>
        <v>JAN</v>
      </c>
      <c r="J23" s="7" t="str">
        <f t="shared" si="2"/>
        <v>CA</v>
      </c>
    </row>
    <row r="24" spans="1:10" ht="13.5" thickBot="1" x14ac:dyDescent="0.25">
      <c r="A24" s="12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Standard Price</v>
      </c>
      <c r="H24" s="7" t="str">
        <f t="shared" si="1"/>
        <v>19</v>
      </c>
      <c r="I24" s="7" t="str">
        <f>MID(A24,4,3)</f>
        <v>JUL</v>
      </c>
      <c r="J24" s="7" t="str">
        <f t="shared" si="2"/>
        <v>BR</v>
      </c>
    </row>
    <row r="25" spans="1:10" ht="13.5" thickBot="1" x14ac:dyDescent="0.25">
      <c r="A25" s="13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s="7" t="str">
        <f t="shared" si="1"/>
        <v>21</v>
      </c>
      <c r="I25" s="7" t="str">
        <f>MID(A25,4,3)</f>
        <v>AUG</v>
      </c>
      <c r="J25" s="7" t="str">
        <f t="shared" si="2"/>
        <v>CA</v>
      </c>
    </row>
    <row r="26" spans="1:10" ht="13.5" thickBot="1" x14ac:dyDescent="0.25">
      <c r="A26" s="12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High Price</v>
      </c>
      <c r="H26" s="7" t="str">
        <f t="shared" si="1"/>
        <v>29</v>
      </c>
      <c r="I26" s="7" t="str">
        <f>MID(A26,4,3)</f>
        <v>SEP</v>
      </c>
      <c r="J26" s="7" t="str">
        <f t="shared" si="2"/>
        <v>CA</v>
      </c>
    </row>
    <row r="27" spans="1:10" ht="13.5" thickBot="1" x14ac:dyDescent="0.25">
      <c r="A27" s="13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s="7" t="str">
        <f t="shared" si="1"/>
        <v>03</v>
      </c>
      <c r="I27" s="7" t="str">
        <f>MID(A27,4,3)</f>
        <v>JUN</v>
      </c>
      <c r="J27" s="7" t="str">
        <f t="shared" si="2"/>
        <v>CA</v>
      </c>
    </row>
    <row r="28" spans="1:10" ht="13.5" thickBot="1" x14ac:dyDescent="0.25">
      <c r="A28" s="12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Standard Price</v>
      </c>
      <c r="H28" s="7" t="str">
        <f t="shared" si="1"/>
        <v>11</v>
      </c>
      <c r="I28" s="7" t="str">
        <f>MID(A28,4,3)</f>
        <v>JUL</v>
      </c>
      <c r="J28" s="7" t="str">
        <f t="shared" si="2"/>
        <v>CA</v>
      </c>
    </row>
    <row r="29" spans="1:10" ht="13.5" thickBot="1" x14ac:dyDescent="0.25">
      <c r="A29" s="13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s="7" t="str">
        <f t="shared" si="1"/>
        <v>16</v>
      </c>
      <c r="I29" s="7" t="str">
        <f>MID(A29,4,3)</f>
        <v>APR</v>
      </c>
      <c r="J29" s="7" t="str">
        <f t="shared" si="2"/>
        <v>ES</v>
      </c>
    </row>
    <row r="30" spans="1:10" ht="13.5" thickBot="1" x14ac:dyDescent="0.25">
      <c r="A30" s="12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Standard Price</v>
      </c>
      <c r="H30" s="7" t="str">
        <f t="shared" si="1"/>
        <v>07</v>
      </c>
      <c r="I30" s="7" t="str">
        <f>MID(A30,4,3)</f>
        <v>MAR</v>
      </c>
      <c r="J30" s="7" t="str">
        <f t="shared" si="2"/>
        <v>CA</v>
      </c>
    </row>
    <row r="31" spans="1:10" ht="13.5" thickBot="1" x14ac:dyDescent="0.25">
      <c r="A31" s="13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s="7" t="str">
        <f t="shared" si="1"/>
        <v>13</v>
      </c>
      <c r="I31" s="7" t="str">
        <f>MID(A31,4,3)</f>
        <v>APR</v>
      </c>
      <c r="J31" s="7" t="str">
        <f t="shared" si="2"/>
        <v>CA</v>
      </c>
    </row>
    <row r="32" spans="1:10" ht="13.5" thickBot="1" x14ac:dyDescent="0.25">
      <c r="A32" s="12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Standard Price</v>
      </c>
      <c r="H32" s="7" t="str">
        <f t="shared" si="1"/>
        <v>24</v>
      </c>
      <c r="I32" s="7" t="str">
        <f>MID(A32,4,3)</f>
        <v>MAY</v>
      </c>
      <c r="J32" s="7" t="str">
        <f t="shared" si="2"/>
        <v>CA</v>
      </c>
    </row>
    <row r="33" spans="1:10" ht="13.5" thickBot="1" x14ac:dyDescent="0.25">
      <c r="A33" s="13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s="7" t="str">
        <f t="shared" si="1"/>
        <v>02</v>
      </c>
      <c r="I33" s="7" t="str">
        <f>MID(A33,4,3)</f>
        <v>DEC</v>
      </c>
      <c r="J33" s="7" t="str">
        <f t="shared" si="2"/>
        <v>CA</v>
      </c>
    </row>
    <row r="34" spans="1:10" ht="13.5" thickBot="1" x14ac:dyDescent="0.25">
      <c r="A34" s="12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High Price</v>
      </c>
      <c r="H34" s="7" t="str">
        <f t="shared" si="1"/>
        <v>17</v>
      </c>
      <c r="I34" s="7" t="str">
        <f>MID(A34,4,3)</f>
        <v>JUN</v>
      </c>
      <c r="J34" s="7" t="str">
        <f t="shared" si="2"/>
        <v>IN</v>
      </c>
    </row>
    <row r="35" spans="1:10" ht="13.5" thickBot="1" x14ac:dyDescent="0.25">
      <c r="A35" s="13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s="7" t="str">
        <f t="shared" si="1"/>
        <v>09</v>
      </c>
      <c r="I35" s="7" t="str">
        <f>MID(A35,4,3)</f>
        <v>JUL</v>
      </c>
      <c r="J35" s="7" t="str">
        <f t="shared" si="2"/>
        <v>FR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Devendran G</dc:creator>
  <cp:lastModifiedBy>Devendran G</cp:lastModifiedBy>
  <dcterms:created xsi:type="dcterms:W3CDTF">2026-08-20T06:26:37Z</dcterms:created>
  <dcterms:modified xsi:type="dcterms:W3CDTF">2026-08-20T06:27:59Z</dcterms:modified>
</cp:coreProperties>
</file>